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rticles" sheetId="2" state="visible" r:id="rId2"/>
    <sheet xmlns:r="http://schemas.openxmlformats.org/officeDocument/2006/relationships" name="Analytic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8"/>
    </font>
    <font>
      <name val="Arial"/>
      <i val="1"/>
      <color rgb="00404040"/>
      <sz val="10"/>
    </font>
    <font>
      <name val="Arial"/>
      <b val="1"/>
      <color rgb="00FFFFFF"/>
      <sz val="9"/>
    </font>
    <font>
      <name val="Arial"/>
      <b val="1"/>
      <color rgb="001F3864"/>
      <sz val="20"/>
    </font>
    <font>
      <name val="Arial"/>
      <b val="1"/>
      <color rgb="00FFFFFF"/>
      <sz val="11"/>
    </font>
    <font>
      <name val="Arial"/>
      <sz val="9"/>
    </font>
    <font>
      <name val="Arial"/>
      <b val="1"/>
      <sz val="9"/>
    </font>
    <font>
      <name val="Arial"/>
      <b val="1"/>
      <color rgb="00FFFFFF"/>
      <sz val="10"/>
    </font>
    <font>
      <name val="Arial"/>
      <color rgb="00000000"/>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2F2F2"/>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C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vertical="center"/>
    </xf>
    <xf numFmtId="3" fontId="4" fillId="4" borderId="0" applyAlignment="1" pivotButton="0" quotePrefix="0" xfId="0">
      <alignment horizontal="center" vertical="center"/>
    </xf>
    <xf numFmtId="10" fontId="4" fillId="4" borderId="0" applyAlignment="1" pivotButton="0" quotePrefix="0" xfId="0">
      <alignment horizontal="center" vertical="center"/>
    </xf>
    <xf numFmtId="0" fontId="5" fillId="3" borderId="0" applyAlignment="1" pivotButton="0" quotePrefix="0" xfId="0">
      <alignment horizontal="left" vertical="center" indent="1"/>
    </xf>
    <xf numFmtId="0" fontId="3" fillId="2" borderId="1" applyAlignment="1" pivotButton="0" quotePrefix="0" xfId="0">
      <alignment horizontal="center"/>
    </xf>
    <xf numFmtId="0" fontId="6" fillId="5" borderId="1" applyAlignment="1" pivotButton="0" quotePrefix="0" xfId="0">
      <alignment horizontal="left"/>
    </xf>
    <xf numFmtId="3" fontId="6" fillId="5" borderId="1" applyAlignment="1" pivotButton="0" quotePrefix="0" xfId="0">
      <alignment horizontal="center"/>
    </xf>
    <xf numFmtId="10" fontId="6" fillId="5" borderId="1" applyAlignment="1" pivotButton="0" quotePrefix="0" xfId="0">
      <alignment horizontal="center"/>
    </xf>
    <xf numFmtId="0" fontId="7" fillId="7" borderId="1" applyAlignment="1" pivotButton="0" quotePrefix="0" xfId="0">
      <alignment horizontal="center"/>
    </xf>
    <xf numFmtId="0" fontId="6" fillId="5" borderId="1" applyAlignment="1" pivotButton="0" quotePrefix="0" xfId="0">
      <alignment horizontal="center"/>
    </xf>
    <xf numFmtId="164" fontId="6" fillId="5" borderId="1" applyAlignment="1" pivotButton="0" quotePrefix="0" xfId="0">
      <alignment horizontal="center"/>
    </xf>
    <xf numFmtId="0" fontId="6" fillId="6" borderId="1" applyAlignment="1" pivotButton="0" quotePrefix="0" xfId="0">
      <alignment horizontal="left"/>
    </xf>
    <xf numFmtId="3" fontId="6" fillId="6" borderId="1" applyAlignment="1" pivotButton="0" quotePrefix="0" xfId="0">
      <alignment horizontal="center"/>
    </xf>
    <xf numFmtId="10" fontId="6" fillId="6" borderId="1" applyAlignment="1" pivotButton="0" quotePrefix="0" xfId="0">
      <alignment horizontal="center"/>
    </xf>
    <xf numFmtId="0" fontId="7" fillId="8" borderId="1" applyAlignment="1" pivotButton="0" quotePrefix="0" xfId="0">
      <alignment horizontal="center"/>
    </xf>
    <xf numFmtId="0" fontId="6" fillId="6" borderId="1" applyAlignment="1" pivotButton="0" quotePrefix="0" xfId="0">
      <alignment horizontal="center"/>
    </xf>
    <xf numFmtId="164" fontId="6" fillId="6" borderId="1" applyAlignment="1" pivotButton="0" quotePrefix="0" xfId="0">
      <alignment horizontal="center"/>
    </xf>
    <xf numFmtId="0" fontId="7" fillId="9" borderId="1" applyAlignment="1" pivotButton="0" quotePrefix="0" xfId="0">
      <alignment horizontal="center"/>
    </xf>
    <xf numFmtId="0" fontId="8" fillId="2" borderId="1" applyAlignment="1" pivotButton="0" quotePrefix="0" xfId="0">
      <alignment horizontal="center" vertical="center" wrapText="1"/>
    </xf>
    <xf numFmtId="3" fontId="6" fillId="5" borderId="1" applyAlignment="1" pivotButton="0" quotePrefix="0" xfId="0">
      <alignment vertical="top"/>
    </xf>
    <xf numFmtId="0" fontId="6" fillId="5" borderId="1" applyAlignment="1" pivotButton="0" quotePrefix="0" xfId="0">
      <alignment vertical="top" wrapText="1"/>
    </xf>
    <xf numFmtId="0" fontId="6" fillId="5" borderId="1" applyAlignment="1" pivotButton="0" quotePrefix="0" xfId="0">
      <alignment vertical="top"/>
    </xf>
    <xf numFmtId="10" fontId="6" fillId="5" borderId="1" applyAlignment="1" pivotButton="0" quotePrefix="0" xfId="0">
      <alignment vertical="top"/>
    </xf>
    <xf numFmtId="0" fontId="7" fillId="7" borderId="1" applyAlignment="1" pivotButton="0" quotePrefix="0" xfId="0">
      <alignment horizontal="center" vertical="top"/>
    </xf>
    <xf numFmtId="3" fontId="6" fillId="6" borderId="1" applyAlignment="1" pivotButton="0" quotePrefix="0" xfId="0">
      <alignment vertical="top"/>
    </xf>
    <xf numFmtId="0" fontId="6" fillId="6" borderId="1" applyAlignment="1" pivotButton="0" quotePrefix="0" xfId="0">
      <alignment vertical="top" wrapText="1"/>
    </xf>
    <xf numFmtId="0" fontId="6" fillId="6" borderId="1" applyAlignment="1" pivotButton="0" quotePrefix="0" xfId="0">
      <alignment vertical="top"/>
    </xf>
    <xf numFmtId="10" fontId="6" fillId="6" borderId="1" applyAlignment="1" pivotButton="0" quotePrefix="0" xfId="0">
      <alignment vertical="top"/>
    </xf>
    <xf numFmtId="0" fontId="7" fillId="8" borderId="1" applyAlignment="1" pivotButton="0" quotePrefix="0" xfId="0">
      <alignment horizontal="center" vertical="top"/>
    </xf>
    <xf numFmtId="0" fontId="7" fillId="9" borderId="1" applyAlignment="1" pivotButton="0" quotePrefix="0" xfId="0">
      <alignment horizontal="center" vertical="top"/>
    </xf>
    <xf numFmtId="0" fontId="3" fillId="2" borderId="1" pivotButton="0" quotePrefix="0" xfId="0"/>
    <xf numFmtId="0" fontId="0" fillId="2" borderId="1" pivotButton="0" quotePrefix="0" xfId="0"/>
    <xf numFmtId="3" fontId="3" fillId="2" borderId="1" pivotButton="0" quotePrefix="0" xfId="0"/>
    <xf numFmtId="10" fontId="3" fillId="2" borderId="1" pivotButton="0" quotePrefix="0" xfId="0"/>
    <xf numFmtId="0" fontId="3" fillId="3" borderId="1" applyAlignment="1" pivotButton="0" quotePrefix="0" xfId="0">
      <alignment horizontal="center"/>
    </xf>
    <xf numFmtId="0" fontId="6" fillId="4" borderId="1" applyAlignment="1" pivotButton="0" quotePrefix="0" xfId="0">
      <alignment horizontal="center"/>
    </xf>
    <xf numFmtId="0" fontId="6" fillId="4" borderId="1" applyAlignment="1" pivotButton="0" quotePrefix="0" xfId="0">
      <alignment horizontal="left"/>
    </xf>
    <xf numFmtId="3" fontId="6" fillId="4" borderId="1" applyAlignment="1" pivotButton="0" quotePrefix="0" xfId="0">
      <alignment horizontal="center"/>
    </xf>
    <xf numFmtId="10" fontId="6" fillId="4" borderId="1" applyAlignment="1" pivotButton="0" quotePrefix="0" xfId="0">
      <alignment horizontal="center"/>
    </xf>
    <xf numFmtId="0" fontId="6" fillId="5" borderId="1" pivotButton="0" quotePrefix="0" xfId="0"/>
    <xf numFmtId="0" fontId="9" fillId="5" borderId="1" applyAlignment="1" pivotButton="0" quotePrefix="0" xfId="0">
      <alignment horizontal="center"/>
    </xf>
    <xf numFmtId="3" fontId="9" fillId="5" borderId="1" applyAlignment="1" pivotButton="0" quotePrefix="0" xfId="0">
      <alignment horizontal="center"/>
    </xf>
    <xf numFmtId="10" fontId="9" fillId="5" borderId="1" applyAlignment="1" pivotButton="0" quotePrefix="0" xfId="0">
      <alignment horizontal="center"/>
    </xf>
    <xf numFmtId="0" fontId="6" fillId="6" borderId="1" pivotButton="0" quotePrefix="0" xfId="0"/>
    <xf numFmtId="0" fontId="9" fillId="6" borderId="1" applyAlignment="1" pivotButton="0" quotePrefix="0" xfId="0">
      <alignment horizontal="center"/>
    </xf>
    <xf numFmtId="3" fontId="9" fillId="6" borderId="1" applyAlignment="1" pivotButton="0" quotePrefix="0" xfId="0">
      <alignment horizontal="center"/>
    </xf>
    <xf numFmtId="10" fontId="9"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L19"/>
  <sheetViews>
    <sheetView showGridLines="0" workbookViewId="0">
      <selection activeCell="A1" sqref="A1"/>
    </sheetView>
  </sheetViews>
  <sheetFormatPr baseColWidth="8" defaultRowHeight="15"/>
  <cols>
    <col width="20" customWidth="1" min="2" max="2"/>
    <col width="10" customWidth="1" min="3" max="3"/>
    <col width="14" customWidth="1" min="4" max="4"/>
    <col width="12" customWidth="1" min="5" max="5"/>
    <col width="16" customWidth="1" min="6" max="6"/>
    <col width="3" customWidth="1" min="7" max="7"/>
    <col width="14" customWidth="1" min="8" max="8"/>
    <col width="8" customWidth="1" min="9" max="9"/>
    <col width="10" customWidth="1" min="10" max="10"/>
    <col width="3" customWidth="1" min="11" max="11"/>
    <col width="3" customWidth="1" min="12" max="12"/>
  </cols>
  <sheetData>
    <row r="2" ht="28" customHeight="1">
      <c r="B2" s="1" t="inlineStr">
        <is>
          <t>ARTICLE DATASET — EXECUTIVE DASHBOARD</t>
        </is>
      </c>
    </row>
    <row r="3" ht="28" customHeight="1"/>
    <row r="4">
      <c r="B4" s="2" t="inlineStr">
        <is>
          <t>Aggregated performance metrics across the full article corpus</t>
        </is>
      </c>
    </row>
    <row r="6">
      <c r="B6" s="3" t="inlineStr">
        <is>
          <t>Total Articles</t>
        </is>
      </c>
      <c r="D6" s="3" t="inlineStr">
        <is>
          <t>Total Reads</t>
        </is>
      </c>
      <c r="F6" s="3" t="inlineStr">
        <is>
          <t>Total Likes</t>
        </is>
      </c>
      <c r="H6" s="3" t="inlineStr">
        <is>
          <t>Avg Engagement %</t>
        </is>
      </c>
      <c r="J6" s="3" t="inlineStr">
        <is>
          <t>Avg Word Count</t>
        </is>
      </c>
    </row>
    <row r="7">
      <c r="B7" s="4">
        <f>COUNTA(Articles!A2:A1000)</f>
        <v/>
      </c>
      <c r="D7" s="4">
        <f>SUM(Articles!G2:G1000)</f>
        <v/>
      </c>
      <c r="F7" s="4">
        <f>SUM(Articles!H2:H1000)</f>
        <v/>
      </c>
      <c r="H7" s="5">
        <f>AVERAGE(Articles!I2:I1000)</f>
        <v/>
      </c>
      <c r="J7" s="4">
        <f>AVERAGE(Articles!F2:F1000)</f>
        <v/>
      </c>
    </row>
    <row r="8"/>
    <row r="9"/>
    <row r="12" ht="22" customHeight="1">
      <c r="B12" s="6" t="inlineStr">
        <is>
          <t>PERFORMANCE BY CATEGORY</t>
        </is>
      </c>
      <c r="H12" s="6" t="inlineStr">
        <is>
          <t>STATUS BREAKDOWN</t>
        </is>
      </c>
    </row>
    <row r="14">
      <c r="B14" s="7" t="inlineStr">
        <is>
          <t>Category</t>
        </is>
      </c>
      <c r="C14" s="7" t="inlineStr">
        <is>
          <t>Articles</t>
        </is>
      </c>
      <c r="D14" s="7" t="inlineStr">
        <is>
          <t>Total Reads</t>
        </is>
      </c>
      <c r="E14" s="7" t="inlineStr">
        <is>
          <t>Total Likes</t>
        </is>
      </c>
      <c r="F14" s="7" t="inlineStr">
        <is>
          <t>Avg Engagement</t>
        </is>
      </c>
      <c r="H14" s="7" t="inlineStr">
        <is>
          <t>Status</t>
        </is>
      </c>
      <c r="I14" s="7" t="inlineStr">
        <is>
          <t>Count</t>
        </is>
      </c>
      <c r="J14" s="7" t="inlineStr">
        <is>
          <t>Share</t>
        </is>
      </c>
    </row>
    <row r="15">
      <c r="B15" s="8" t="inlineStr">
        <is>
          <t>Business</t>
        </is>
      </c>
      <c r="C15" s="9" t="n">
        <v>2</v>
      </c>
      <c r="D15" s="9" t="n">
        <v>25350</v>
      </c>
      <c r="E15" s="9" t="n">
        <v>2270</v>
      </c>
      <c r="F15" s="10" t="n">
        <v>0.08359999999999999</v>
      </c>
      <c r="H15" s="11" t="inlineStr">
        <is>
          <t>Published</t>
        </is>
      </c>
      <c r="I15" s="12" t="n">
        <v>6</v>
      </c>
      <c r="J15" s="13" t="n">
        <v>0.75</v>
      </c>
    </row>
    <row r="16">
      <c r="B16" s="14" t="inlineStr">
        <is>
          <t>Environment</t>
        </is>
      </c>
      <c r="C16" s="15" t="n">
        <v>2</v>
      </c>
      <c r="D16" s="15" t="n">
        <v>17500</v>
      </c>
      <c r="E16" s="15" t="n">
        <v>1510</v>
      </c>
      <c r="F16" s="16" t="n">
        <v>0.08599999999999999</v>
      </c>
      <c r="H16" s="17" t="inlineStr">
        <is>
          <t>Review</t>
        </is>
      </c>
      <c r="I16" s="18" t="n">
        <v>1</v>
      </c>
      <c r="J16" s="19" t="n">
        <v>0.125</v>
      </c>
    </row>
    <row r="17">
      <c r="B17" s="8" t="inlineStr">
        <is>
          <t>Finance</t>
        </is>
      </c>
      <c r="C17" s="9" t="n">
        <v>1</v>
      </c>
      <c r="D17" s="9" t="n">
        <v>25100</v>
      </c>
      <c r="E17" s="9" t="n">
        <v>3050</v>
      </c>
      <c r="F17" s="10" t="n">
        <v>0.1215</v>
      </c>
      <c r="H17" s="20" t="inlineStr">
        <is>
          <t>Draft</t>
        </is>
      </c>
      <c r="I17" s="12" t="n">
        <v>1</v>
      </c>
      <c r="J17" s="13" t="n">
        <v>0.125</v>
      </c>
    </row>
    <row r="18">
      <c r="B18" s="14" t="inlineStr">
        <is>
          <t>Science</t>
        </is>
      </c>
      <c r="C18" s="15" t="n">
        <v>1</v>
      </c>
      <c r="D18" s="15" t="n">
        <v>12800</v>
      </c>
      <c r="E18" s="15" t="n">
        <v>1430</v>
      </c>
      <c r="F18" s="16" t="n">
        <v>0.1117</v>
      </c>
    </row>
    <row r="19">
      <c r="B19" s="8" t="inlineStr">
        <is>
          <t>Technology</t>
        </is>
      </c>
      <c r="C19" s="9" t="n">
        <v>2</v>
      </c>
      <c r="D19" s="9" t="n">
        <v>35370</v>
      </c>
      <c r="E19" s="9" t="n">
        <v>3412</v>
      </c>
      <c r="F19" s="10" t="n">
        <v>0.0934</v>
      </c>
    </row>
  </sheetData>
  <mergeCells count="14">
    <mergeCell ref="B4:L4"/>
    <mergeCell ref="B6:C6"/>
    <mergeCell ref="D6:E6"/>
    <mergeCell ref="F7:G9"/>
    <mergeCell ref="H7:I9"/>
    <mergeCell ref="H6:I6"/>
    <mergeCell ref="J7:K9"/>
    <mergeCell ref="H12:L12"/>
    <mergeCell ref="J6:K6"/>
    <mergeCell ref="D7:E9"/>
    <mergeCell ref="B7:C9"/>
    <mergeCell ref="B2:L3"/>
    <mergeCell ref="F6:G6"/>
    <mergeCell ref="B12:G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showGridLines="0" workbookViewId="0">
      <pane ySplit="1" topLeftCell="A2" activePane="bottomLeft" state="frozen"/>
      <selection pane="bottomLeft" activeCell="A1" sqref="A1"/>
    </sheetView>
  </sheetViews>
  <sheetFormatPr baseColWidth="8" defaultRowHeight="15"/>
  <cols>
    <col width="6" customWidth="1" min="1" max="1"/>
    <col width="52" customWidth="1" min="2" max="2"/>
    <col width="22" customWidth="1" min="3" max="3"/>
    <col width="15" customWidth="1" min="4" max="4"/>
    <col width="14" customWidth="1" min="5" max="5"/>
    <col width="13" customWidth="1" min="6" max="6"/>
    <col width="13" customWidth="1" min="7" max="7"/>
    <col width="13" customWidth="1" min="8" max="8"/>
    <col width="14" customWidth="1" min="9" max="9"/>
    <col width="13" customWidth="1" min="10" max="10"/>
    <col width="30" customWidth="1" min="11" max="11"/>
    <col width="62" customWidth="1" min="12" max="12"/>
  </cols>
  <sheetData>
    <row r="1" ht="32" customHeight="1">
      <c r="A1" s="21" t="inlineStr">
        <is>
          <t>ID</t>
        </is>
      </c>
      <c r="B1" s="21" t="inlineStr">
        <is>
          <t>Title</t>
        </is>
      </c>
      <c r="C1" s="21" t="inlineStr">
        <is>
          <t>Author</t>
        </is>
      </c>
      <c r="D1" s="21" t="inlineStr">
        <is>
          <t>Category</t>
        </is>
      </c>
      <c r="E1" s="21" t="inlineStr">
        <is>
          <t>Date</t>
        </is>
      </c>
      <c r="F1" s="21" t="inlineStr">
        <is>
          <t>Word Count</t>
        </is>
      </c>
      <c r="G1" s="21" t="inlineStr">
        <is>
          <t>Reads</t>
        </is>
      </c>
      <c r="H1" s="21" t="inlineStr">
        <is>
          <t>Likes</t>
        </is>
      </c>
      <c r="I1" s="21" t="inlineStr">
        <is>
          <t>Engagement %</t>
        </is>
      </c>
      <c r="J1" s="21" t="inlineStr">
        <is>
          <t>Status</t>
        </is>
      </c>
      <c r="K1" s="21" t="inlineStr">
        <is>
          <t>Tags</t>
        </is>
      </c>
      <c r="L1" s="21" t="inlineStr">
        <is>
          <t>Summary</t>
        </is>
      </c>
    </row>
    <row r="2" ht="60" customHeight="1">
      <c r="A2" s="22" t="n">
        <v>1</v>
      </c>
      <c r="B2" s="23" t="inlineStr">
        <is>
          <t>The Future of Artificial Intelligence in Healthcare</t>
        </is>
      </c>
      <c r="C2" s="24" t="inlineStr">
        <is>
          <t>Dr. Emily Carter</t>
        </is>
      </c>
      <c r="D2" s="24" t="inlineStr">
        <is>
          <t>Technology</t>
        </is>
      </c>
      <c r="E2" s="24" t="inlineStr">
        <is>
          <t>2024-03-15</t>
        </is>
      </c>
      <c r="F2" s="22" t="n">
        <v>2850</v>
      </c>
      <c r="G2" s="22" t="n">
        <v>14320</v>
      </c>
      <c r="H2" s="22" t="n">
        <v>1102</v>
      </c>
      <c r="I2" s="25" t="n">
        <v>0.077</v>
      </c>
      <c r="J2" s="26" t="inlineStr">
        <is>
          <t>Published</t>
        </is>
      </c>
      <c r="K2" s="23" t="inlineStr">
        <is>
          <t>AI, Healthcare, Machine Learning, Ethics</t>
        </is>
      </c>
      <c r="L2" s="23" t="inlineStr">
        <is>
          <t>An in-depth exploration of how AI-powered diagnostics, predictive analytics, and robotic surgery are transforming patient outcomes and hospital efficiency. The article examines real-world deployments across leading medical institutions and highlights ethical considerations surrounding algorithmic bias.</t>
        </is>
      </c>
    </row>
    <row r="3" ht="60" customHeight="1">
      <c r="A3" s="27" t="n">
        <v>2</v>
      </c>
      <c r="B3" s="28" t="inlineStr">
        <is>
          <t>Sustainable Architecture: Building for the Next Century</t>
        </is>
      </c>
      <c r="C3" s="29" t="inlineStr">
        <is>
          <t>Prof. James Alderton</t>
        </is>
      </c>
      <c r="D3" s="29" t="inlineStr">
        <is>
          <t>Environment</t>
        </is>
      </c>
      <c r="E3" s="29" t="inlineStr">
        <is>
          <t>2024-04-02</t>
        </is>
      </c>
      <c r="F3" s="27" t="n">
        <v>3120</v>
      </c>
      <c r="G3" s="27" t="n">
        <v>9870</v>
      </c>
      <c r="H3" s="27" t="n">
        <v>870</v>
      </c>
      <c r="I3" s="30" t="n">
        <v>0.08810000000000001</v>
      </c>
      <c r="J3" s="26" t="inlineStr">
        <is>
          <t>Published</t>
        </is>
      </c>
      <c r="K3" s="28" t="inlineStr">
        <is>
          <t>Architecture, Sustainability, Green Design, Urban Planning</t>
        </is>
      </c>
      <c r="L3" s="28" t="inlineStr">
        <is>
          <t>A comprehensive review of net-zero building techniques, biophilic design principles, and circular material economies. Case studies from Copenhagen, Singapore, and Masdar City illustrate how cities are redefining the relationship between the built environment and ecological systems.</t>
        </is>
      </c>
    </row>
    <row r="4" ht="60" customHeight="1">
      <c r="A4" s="22" t="n">
        <v>3</v>
      </c>
      <c r="B4" s="23" t="inlineStr">
        <is>
          <t>Quantum Computing: Breaking Through the Noise Barrier</t>
        </is>
      </c>
      <c r="C4" s="24" t="inlineStr">
        <is>
          <t>Dr. Sarah Lin</t>
        </is>
      </c>
      <c r="D4" s="24" t="inlineStr">
        <is>
          <t>Technology</t>
        </is>
      </c>
      <c r="E4" s="24" t="inlineStr">
        <is>
          <t>2024-04-18</t>
        </is>
      </c>
      <c r="F4" s="22" t="n">
        <v>4200</v>
      </c>
      <c r="G4" s="22" t="n">
        <v>21050</v>
      </c>
      <c r="H4" s="22" t="n">
        <v>2310</v>
      </c>
      <c r="I4" s="25" t="n">
        <v>0.1097</v>
      </c>
      <c r="J4" s="26" t="inlineStr">
        <is>
          <t>Published</t>
        </is>
      </c>
      <c r="K4" s="23" t="inlineStr">
        <is>
          <t>Quantum, Computing, Physics, Cryptography</t>
        </is>
      </c>
      <c r="L4" s="23" t="inlineStr">
        <is>
          <t>This article demystifies qubit decoherence and error-correction strategies that are bringing fault-tolerant quantum computers within reach. It covers recent milestones from IBM, Google, and IonQ, and forecasts commercial applications in cryptography, drug discovery, and logistics optimisation.</t>
        </is>
      </c>
    </row>
    <row r="5" ht="60" customHeight="1">
      <c r="A5" s="27" t="n">
        <v>4</v>
      </c>
      <c r="B5" s="28" t="inlineStr">
        <is>
          <t>The Psychology of Remote Work: Productivity, Isolation, and Balance</t>
        </is>
      </c>
      <c r="C5" s="29" t="inlineStr">
        <is>
          <t>Dr. Marcus Webb</t>
        </is>
      </c>
      <c r="D5" s="29" t="inlineStr">
        <is>
          <t>Business</t>
        </is>
      </c>
      <c r="E5" s="29" t="inlineStr">
        <is>
          <t>2024-05-05</t>
        </is>
      </c>
      <c r="F5" s="27" t="n">
        <v>2650</v>
      </c>
      <c r="G5" s="27" t="n">
        <v>18400</v>
      </c>
      <c r="H5" s="27" t="n">
        <v>1780</v>
      </c>
      <c r="I5" s="30" t="n">
        <v>0.09669999999999999</v>
      </c>
      <c r="J5" s="26" t="inlineStr">
        <is>
          <t>Published</t>
        </is>
      </c>
      <c r="K5" s="28" t="inlineStr">
        <is>
          <t>Remote Work, Psychology, Productivity, Wellbeing</t>
        </is>
      </c>
      <c r="L5" s="28" t="inlineStr">
        <is>
          <t>Drawing on longitudinal survey data from 4,000 remote workers across 12 countries, this piece analyses the cognitive and emotional dimensions of distributed work. It presents evidence-based frameworks for managers and individuals seeking to sustain high performance while protecting mental health.</t>
        </is>
      </c>
    </row>
    <row r="6" ht="60" customHeight="1">
      <c r="A6" s="22" t="n">
        <v>5</v>
      </c>
      <c r="B6" s="23" t="inlineStr">
        <is>
          <t>Ocean Carbon Capture: Science, Scale, and Controversy</t>
        </is>
      </c>
      <c r="C6" s="24" t="inlineStr">
        <is>
          <t>Dr. Priya Nair</t>
        </is>
      </c>
      <c r="D6" s="24" t="inlineStr">
        <is>
          <t>Environment</t>
        </is>
      </c>
      <c r="E6" s="24" t="inlineStr">
        <is>
          <t>2024-05-22</t>
        </is>
      </c>
      <c r="F6" s="22" t="n">
        <v>3480</v>
      </c>
      <c r="G6" s="22" t="n">
        <v>7630</v>
      </c>
      <c r="H6" s="22" t="n">
        <v>640</v>
      </c>
      <c r="I6" s="25" t="n">
        <v>0.0839</v>
      </c>
      <c r="J6" s="26" t="inlineStr">
        <is>
          <t>Published</t>
        </is>
      </c>
      <c r="K6" s="23" t="inlineStr">
        <is>
          <t>Climate, Ocean, Carbon Capture, Policy</t>
        </is>
      </c>
      <c r="L6" s="23" t="inlineStr">
        <is>
          <t>Explores emerging ocean-based carbon removal strategies—from iron fertilisation to alkalinity enhancement—and weighs their gigaton-scale potential against ecological risks. The article calls for international governance frameworks before large-scale commercial deployment begins.</t>
        </is>
      </c>
    </row>
    <row r="7" ht="60" customHeight="1">
      <c r="A7" s="27" t="n">
        <v>6</v>
      </c>
      <c r="B7" s="28" t="inlineStr">
        <is>
          <t>Decentralised Finance: Promise, Peril, and Regulation</t>
        </is>
      </c>
      <c r="C7" s="29" t="inlineStr">
        <is>
          <t>Nina Okafor</t>
        </is>
      </c>
      <c r="D7" s="29" t="inlineStr">
        <is>
          <t>Finance</t>
        </is>
      </c>
      <c r="E7" s="29" t="inlineStr">
        <is>
          <t>2024-06-10</t>
        </is>
      </c>
      <c r="F7" s="27" t="n">
        <v>3900</v>
      </c>
      <c r="G7" s="27" t="n">
        <v>25100</v>
      </c>
      <c r="H7" s="27" t="n">
        <v>3050</v>
      </c>
      <c r="I7" s="30" t="n">
        <v>0.1215</v>
      </c>
      <c r="J7" s="26" t="inlineStr">
        <is>
          <t>Published</t>
        </is>
      </c>
      <c r="K7" s="28" t="inlineStr">
        <is>
          <t>DeFi, Blockchain, Finance, Regulation</t>
        </is>
      </c>
      <c r="L7" s="28" t="inlineStr">
        <is>
          <t>A rigorous examination of DeFi protocols—DEXs, lending platforms, and yield aggregators—contrasting their democratising potential with systemic risks exposed by high-profile exploits. Reviews the evolving regulatory landscape in the EU, US, and Asia-Pacific.</t>
        </is>
      </c>
    </row>
    <row r="8" ht="60" customHeight="1">
      <c r="A8" s="22" t="n">
        <v>7</v>
      </c>
      <c r="B8" s="23" t="inlineStr">
        <is>
          <t>Neuroplasticity and Lifelong Learning: Rewiring the Adult Brain</t>
        </is>
      </c>
      <c r="C8" s="24" t="inlineStr">
        <is>
          <t>Prof. Daniel Rossi</t>
        </is>
      </c>
      <c r="D8" s="24" t="inlineStr">
        <is>
          <t>Science</t>
        </is>
      </c>
      <c r="E8" s="24" t="inlineStr">
        <is>
          <t>2024-06-28</t>
        </is>
      </c>
      <c r="F8" s="22" t="n">
        <v>2970</v>
      </c>
      <c r="G8" s="22" t="n">
        <v>12800</v>
      </c>
      <c r="H8" s="22" t="n">
        <v>1430</v>
      </c>
      <c r="I8" s="25" t="n">
        <v>0.1117</v>
      </c>
      <c r="J8" s="31" t="inlineStr">
        <is>
          <t>Review</t>
        </is>
      </c>
      <c r="K8" s="23" t="inlineStr">
        <is>
          <t>Neuroscience, Learning, Brain, Education</t>
        </is>
      </c>
      <c r="L8" s="23" t="inlineStr">
        <is>
          <t>Synthesises decades of neuroscience research to challenge the myth that adult brains are fixed. Practical implications for education, rehabilitation, and cognitive longevity are illustrated through clinical trials and first-person case narratives.</t>
        </is>
      </c>
    </row>
    <row r="9" ht="60" customHeight="1">
      <c r="A9" s="27" t="n">
        <v>8</v>
      </c>
      <c r="B9" s="28" t="inlineStr">
        <is>
          <t>Supply Chain Resilience in a Multipolar World</t>
        </is>
      </c>
      <c r="C9" s="29" t="inlineStr">
        <is>
          <t>Dr. Anna Kovacs</t>
        </is>
      </c>
      <c r="D9" s="29" t="inlineStr">
        <is>
          <t>Business</t>
        </is>
      </c>
      <c r="E9" s="29" t="inlineStr">
        <is>
          <t>2024-07-14</t>
        </is>
      </c>
      <c r="F9" s="27" t="n">
        <v>3340</v>
      </c>
      <c r="G9" s="27" t="n">
        <v>6950</v>
      </c>
      <c r="H9" s="27" t="n">
        <v>490</v>
      </c>
      <c r="I9" s="30" t="n">
        <v>0.07049999999999999</v>
      </c>
      <c r="J9" s="32" t="inlineStr">
        <is>
          <t>Draft</t>
        </is>
      </c>
      <c r="K9" s="28" t="inlineStr">
        <is>
          <t>Supply Chain, Geopolitics, Logistics, Risk</t>
        </is>
      </c>
      <c r="L9" s="28" t="inlineStr">
        <is>
          <t>Analyses how geopolitical fragmentation, climate disruption, and pandemic aftershocks are forcing companies to rethink just-in-time logistics. Proposes a resilience index framework and benchmarks leading multinationals against it using publicly available disclosure data.</t>
        </is>
      </c>
    </row>
    <row r="10">
      <c r="A10" s="33" t="inlineStr">
        <is>
          <t>TOTALS</t>
        </is>
      </c>
      <c r="B10" s="34" t="n"/>
      <c r="C10" s="34" t="n"/>
      <c r="D10" s="34" t="n"/>
      <c r="E10" s="34" t="n"/>
      <c r="F10" s="35">
        <f>SUM(F2:F9)</f>
        <v/>
      </c>
      <c r="G10" s="35">
        <f>SUM(G2:G9)</f>
        <v/>
      </c>
      <c r="H10" s="35">
        <f>SUM(H2:H9)</f>
        <v/>
      </c>
      <c r="I10" s="36">
        <f>AVERAGE(I2:I9)</f>
        <v/>
      </c>
      <c r="J10" s="34" t="n"/>
      <c r="K10" s="34" t="n"/>
      <c r="L10" s="3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22"/>
  <sheetViews>
    <sheetView showGridLines="0" workbookViewId="0">
      <selection activeCell="A1" sqref="A1"/>
    </sheetView>
  </sheetViews>
  <sheetFormatPr baseColWidth="8" defaultRowHeight="15"/>
  <cols>
    <col width="6" customWidth="1" min="2" max="2"/>
    <col width="50" customWidth="1" min="3" max="3"/>
    <col width="22" customWidth="1" min="4" max="4"/>
    <col width="13" customWidth="1" min="5" max="5"/>
    <col width="13" customWidth="1" min="6" max="6"/>
    <col width="14" customWidth="1" min="7" max="7"/>
    <col width="15" customWidth="1" min="8" max="8"/>
  </cols>
  <sheetData>
    <row r="2" ht="22" customHeight="1">
      <c r="B2" s="6" t="inlineStr">
        <is>
          <t>TOP ARTICLES BY ENGAGEMENT RATE</t>
        </is>
      </c>
    </row>
    <row r="4">
      <c r="B4" s="37" t="inlineStr">
        <is>
          <t>Rank</t>
        </is>
      </c>
      <c r="C4" s="37" t="inlineStr">
        <is>
          <t>Title</t>
        </is>
      </c>
      <c r="D4" s="37" t="inlineStr">
        <is>
          <t>Author</t>
        </is>
      </c>
      <c r="E4" s="37" t="inlineStr">
        <is>
          <t>Reads</t>
        </is>
      </c>
      <c r="F4" s="37" t="inlineStr">
        <is>
          <t>Likes</t>
        </is>
      </c>
      <c r="G4" s="37" t="inlineStr">
        <is>
          <t>Engagement %</t>
        </is>
      </c>
      <c r="H4" s="37" t="inlineStr">
        <is>
          <t>Category</t>
        </is>
      </c>
    </row>
    <row r="5">
      <c r="B5" s="18" t="n">
        <v>1</v>
      </c>
      <c r="C5" s="14" t="inlineStr">
        <is>
          <t>Decentralised Finance: Promise, Peril, and Regulation</t>
        </is>
      </c>
      <c r="D5" s="18" t="inlineStr">
        <is>
          <t>Nina Okafor</t>
        </is>
      </c>
      <c r="E5" s="15" t="n">
        <v>25100</v>
      </c>
      <c r="F5" s="15" t="n">
        <v>3050</v>
      </c>
      <c r="G5" s="16" t="n">
        <v>0.1215</v>
      </c>
      <c r="H5" s="18" t="inlineStr">
        <is>
          <t>Finance</t>
        </is>
      </c>
    </row>
    <row r="6">
      <c r="B6" s="38" t="n">
        <v>2</v>
      </c>
      <c r="C6" s="39" t="inlineStr">
        <is>
          <t>Neuroplasticity and Lifelong Learning: Rewiring the Adult Brain</t>
        </is>
      </c>
      <c r="D6" s="38" t="inlineStr">
        <is>
          <t>Prof. Daniel Rossi</t>
        </is>
      </c>
      <c r="E6" s="40" t="n">
        <v>12800</v>
      </c>
      <c r="F6" s="40" t="n">
        <v>1430</v>
      </c>
      <c r="G6" s="41" t="n">
        <v>0.1117</v>
      </c>
      <c r="H6" s="38" t="inlineStr">
        <is>
          <t>Science</t>
        </is>
      </c>
    </row>
    <row r="7">
      <c r="B7" s="18" t="n">
        <v>3</v>
      </c>
      <c r="C7" s="14" t="inlineStr">
        <is>
          <t>Quantum Computing: Breaking Through the Noise Barrier</t>
        </is>
      </c>
      <c r="D7" s="18" t="inlineStr">
        <is>
          <t>Dr. Sarah Lin</t>
        </is>
      </c>
      <c r="E7" s="15" t="n">
        <v>21050</v>
      </c>
      <c r="F7" s="15" t="n">
        <v>2310</v>
      </c>
      <c r="G7" s="16" t="n">
        <v>0.1097</v>
      </c>
      <c r="H7" s="18" t="inlineStr">
        <is>
          <t>Technology</t>
        </is>
      </c>
    </row>
    <row r="8">
      <c r="B8" s="38" t="n">
        <v>4</v>
      </c>
      <c r="C8" s="39" t="inlineStr">
        <is>
          <t>The Psychology of Remote Work: Productivity, Isolation, and Balance</t>
        </is>
      </c>
      <c r="D8" s="38" t="inlineStr">
        <is>
          <t>Dr. Marcus Webb</t>
        </is>
      </c>
      <c r="E8" s="40" t="n">
        <v>18400</v>
      </c>
      <c r="F8" s="40" t="n">
        <v>1780</v>
      </c>
      <c r="G8" s="41" t="n">
        <v>0.09669999999999999</v>
      </c>
      <c r="H8" s="38" t="inlineStr">
        <is>
          <t>Business</t>
        </is>
      </c>
    </row>
    <row r="9">
      <c r="B9" s="18" t="n">
        <v>5</v>
      </c>
      <c r="C9" s="14" t="inlineStr">
        <is>
          <t>Sustainable Architecture: Building for the Next Century</t>
        </is>
      </c>
      <c r="D9" s="18" t="inlineStr">
        <is>
          <t>Prof. James Alderton</t>
        </is>
      </c>
      <c r="E9" s="15" t="n">
        <v>9870</v>
      </c>
      <c r="F9" s="15" t="n">
        <v>870</v>
      </c>
      <c r="G9" s="16" t="n">
        <v>0.08810000000000001</v>
      </c>
      <c r="H9" s="18" t="inlineStr">
        <is>
          <t>Environment</t>
        </is>
      </c>
    </row>
    <row r="10">
      <c r="B10" s="38" t="n">
        <v>6</v>
      </c>
      <c r="C10" s="39" t="inlineStr">
        <is>
          <t>Ocean Carbon Capture: Science, Scale, and Controversy</t>
        </is>
      </c>
      <c r="D10" s="38" t="inlineStr">
        <is>
          <t>Dr. Priya Nair</t>
        </is>
      </c>
      <c r="E10" s="40" t="n">
        <v>7630</v>
      </c>
      <c r="F10" s="40" t="n">
        <v>640</v>
      </c>
      <c r="G10" s="41" t="n">
        <v>0.0839</v>
      </c>
      <c r="H10" s="38" t="inlineStr">
        <is>
          <t>Environment</t>
        </is>
      </c>
    </row>
    <row r="11">
      <c r="B11" s="18" t="n">
        <v>7</v>
      </c>
      <c r="C11" s="14" t="inlineStr">
        <is>
          <t>The Future of Artificial Intelligence in Healthcare</t>
        </is>
      </c>
      <c r="D11" s="18" t="inlineStr">
        <is>
          <t>Dr. Emily Carter</t>
        </is>
      </c>
      <c r="E11" s="15" t="n">
        <v>14320</v>
      </c>
      <c r="F11" s="15" t="n">
        <v>1102</v>
      </c>
      <c r="G11" s="16" t="n">
        <v>0.077</v>
      </c>
      <c r="H11" s="18" t="inlineStr">
        <is>
          <t>Technology</t>
        </is>
      </c>
    </row>
    <row r="12">
      <c r="B12" s="38" t="n">
        <v>8</v>
      </c>
      <c r="C12" s="39" t="inlineStr">
        <is>
          <t>Supply Chain Resilience in a Multipolar World</t>
        </is>
      </c>
      <c r="D12" s="38" t="inlineStr">
        <is>
          <t>Dr. Anna Kovacs</t>
        </is>
      </c>
      <c r="E12" s="40" t="n">
        <v>6950</v>
      </c>
      <c r="F12" s="40" t="n">
        <v>490</v>
      </c>
      <c r="G12" s="41" t="n">
        <v>0.07049999999999999</v>
      </c>
      <c r="H12" s="38" t="inlineStr">
        <is>
          <t>Business</t>
        </is>
      </c>
    </row>
    <row r="15" ht="22" customHeight="1">
      <c r="B15" s="6" t="inlineStr">
        <is>
          <t>CATEGORY AGGREGATES (FORMULA-DRIVEN)</t>
        </is>
      </c>
    </row>
    <row r="17">
      <c r="B17" s="7" t="inlineStr">
        <is>
          <t>Category</t>
        </is>
      </c>
      <c r="C17" s="7" t="inlineStr">
        <is>
          <t>Count</t>
        </is>
      </c>
      <c r="D17" s="7" t="inlineStr">
        <is>
          <t>Sum Reads</t>
        </is>
      </c>
      <c r="E17" s="7" t="inlineStr">
        <is>
          <t>Sum Likes</t>
        </is>
      </c>
      <c r="F17" s="7" t="inlineStr">
        <is>
          <t>Avg Engagement %</t>
        </is>
      </c>
    </row>
    <row r="18">
      <c r="B18" s="42" t="inlineStr">
        <is>
          <t>Business</t>
        </is>
      </c>
      <c r="C18" s="43">
        <f>COUNTIF(Articles!D:D,"Business")</f>
        <v/>
      </c>
      <c r="D18" s="44">
        <f>SUMIF(Articles!D:D,"Business",Articles!G:G)</f>
        <v/>
      </c>
      <c r="E18" s="44">
        <f>SUMIF(Articles!D:D,"Business",Articles!H:H)</f>
        <v/>
      </c>
      <c r="F18" s="45">
        <f>AVERAGEIF(Articles!D:D,"Business",Articles!I:I)</f>
        <v/>
      </c>
    </row>
    <row r="19">
      <c r="B19" s="46" t="inlineStr">
        <is>
          <t>Environment</t>
        </is>
      </c>
      <c r="C19" s="47">
        <f>COUNTIF(Articles!D:D,"Environment")</f>
        <v/>
      </c>
      <c r="D19" s="48">
        <f>SUMIF(Articles!D:D,"Environment",Articles!G:G)</f>
        <v/>
      </c>
      <c r="E19" s="48">
        <f>SUMIF(Articles!D:D,"Environment",Articles!H:H)</f>
        <v/>
      </c>
      <c r="F19" s="49">
        <f>AVERAGEIF(Articles!D:D,"Environment",Articles!I:I)</f>
        <v/>
      </c>
    </row>
    <row r="20">
      <c r="B20" s="42" t="inlineStr">
        <is>
          <t>Finance</t>
        </is>
      </c>
      <c r="C20" s="43">
        <f>COUNTIF(Articles!D:D,"Finance")</f>
        <v/>
      </c>
      <c r="D20" s="44">
        <f>SUMIF(Articles!D:D,"Finance",Articles!G:G)</f>
        <v/>
      </c>
      <c r="E20" s="44">
        <f>SUMIF(Articles!D:D,"Finance",Articles!H:H)</f>
        <v/>
      </c>
      <c r="F20" s="45">
        <f>AVERAGEIF(Articles!D:D,"Finance",Articles!I:I)</f>
        <v/>
      </c>
    </row>
    <row r="21">
      <c r="B21" s="46" t="inlineStr">
        <is>
          <t>Science</t>
        </is>
      </c>
      <c r="C21" s="47">
        <f>COUNTIF(Articles!D:D,"Science")</f>
        <v/>
      </c>
      <c r="D21" s="48">
        <f>SUMIF(Articles!D:D,"Science",Articles!G:G)</f>
        <v/>
      </c>
      <c r="E21" s="48">
        <f>SUMIF(Articles!D:D,"Science",Articles!H:H)</f>
        <v/>
      </c>
      <c r="F21" s="49">
        <f>AVERAGEIF(Articles!D:D,"Science",Articles!I:I)</f>
        <v/>
      </c>
    </row>
    <row r="22">
      <c r="B22" s="42" t="inlineStr">
        <is>
          <t>Technology</t>
        </is>
      </c>
      <c r="C22" s="43">
        <f>COUNTIF(Articles!D:D,"Technology")</f>
        <v/>
      </c>
      <c r="D22" s="44">
        <f>SUMIF(Articles!D:D,"Technology",Articles!G:G)</f>
        <v/>
      </c>
      <c r="E22" s="44">
        <f>SUMIF(Articles!D:D,"Technology",Articles!H:H)</f>
        <v/>
      </c>
      <c r="F22" s="45">
        <f>AVERAGEIF(Articles!D:D,"Technology",Articles!I:I)</f>
        <v/>
      </c>
    </row>
  </sheetData>
  <mergeCells count="2">
    <mergeCell ref="B15:K15"/>
    <mergeCell ref="B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2026-03-05T05:25:44Z</dcterms:created>
  <dcterms:modified xmlns:dcterms="http://purl.org/dc/terms/" xmlns:xsi="http://www.w3.org/2001/XMLSchema-instance" xsi:type="dcterms:W3CDTF">2026-03-05T05:25:45Z</dcterms:modified>
</cp:coreProperties>
</file>